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6B3F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bottom style="thin">
        <color rgb="00DDE2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High &amp; Low: affiliate program tracker</t>
        </is>
      </c>
      <c r="B1" s="2" t="n"/>
    </row>
    <row r="2">
      <c r="A2" s="3" t="inlineStr"/>
      <c r="B2" s="2" t="n"/>
    </row>
    <row r="3">
      <c r="A3" s="3" t="inlineStr">
        <is>
          <t>What to edit</t>
        </is>
      </c>
      <c r="B3" s="2" t="inlineStr">
        <is>
          <t>Only the blue cells with a pale-yellow fill on the Programs sheet: Status, Date applied, Date approved, Commission, Cookie window, Payout threshold, Last link check. Everything else is reference.</t>
        </is>
      </c>
    </row>
    <row r="4">
      <c r="A4" s="3" t="inlineStr">
        <is>
          <t>Example formats</t>
        </is>
      </c>
      <c r="B4" s="2" t="inlineStr">
        <is>
          <t>Status: pick from the dropdown. Dates: 2026-11-15. Commission: 10% of sale. Cookie window: 30. Payout threshold: 50.</t>
        </is>
      </c>
    </row>
    <row r="5">
      <c r="A5" s="3" t="inlineStr">
        <is>
          <t>Next link check</t>
        </is>
      </c>
      <c r="B5" s="2" t="inlineStr">
        <is>
          <t>Calculated automatically: Last link check + 30 days. Check that each approved program is still active and that deep links still work.</t>
        </is>
      </c>
    </row>
    <row r="6">
      <c r="A6" s="3" t="inlineStr">
        <is>
          <t>Add a program</t>
        </is>
      </c>
      <c r="B6" s="2" t="inlineStr">
        <is>
          <t>Type in the next empty row; the Status dropdown covers 20 extra rows.</t>
        </is>
      </c>
    </row>
    <row r="7">
      <c r="A7" s="3" t="inlineStr">
        <is>
          <t>Source of numbers</t>
        </is>
      </c>
      <c r="B7" s="2" t="inlineStr">
        <is>
          <t>Commission and cookie values came from third-party affiliate blogs and listings (UpPromote roundup, Katalys, FlexOffers, Awin merchant pages, affi.io), researched 2026-10-24. Many are years old and some sources disagree. Confirm each on the program's own terms page before relying on it. Cells marked '(unverified)' are especially uncertain.</t>
        </is>
      </c>
    </row>
    <row r="8">
      <c r="A8" s="3" t="inlineStr">
        <is>
          <t>Application wording</t>
        </is>
      </c>
      <c r="B8" s="2" t="inlineStr">
        <is>
          <t>Describe the site honestly: a 21+ price-comparison site for legal NJ dispensaries. Merchants' terms generally require compliance with cannabis advertising laws and age limits; some will decline.</t>
        </is>
      </c>
    </row>
    <row r="9">
      <c r="A9" s="3" t="inlineStr">
        <is>
          <t>Legal</t>
        </is>
      </c>
      <c r="B9" s="2" t="inlineStr">
        <is>
          <t>Ask counsel to review each program's terms together with the sponsored-slot and disclosure wording.</t>
        </is>
      </c>
    </row>
    <row r="10">
      <c r="A10" s="3" t="inlineStr"/>
      <c r="B10" s="2" t="n"/>
    </row>
    <row r="11">
      <c r="A11" s="3" t="inlineStr">
        <is>
          <t>Summary</t>
        </is>
      </c>
      <c r="B11" s="2" t="n"/>
    </row>
    <row r="12">
      <c r="A12" s="4" t="inlineStr">
        <is>
          <t>Not applied</t>
        </is>
      </c>
      <c r="B12" s="5">
        <f>COUNTIF(Programs!$F$2:$F$31,A12)</f>
        <v/>
      </c>
    </row>
    <row r="13">
      <c r="A13" s="4" t="inlineStr">
        <is>
          <t>Applied</t>
        </is>
      </c>
      <c r="B13" s="5">
        <f>COUNTIF(Programs!$F$2:$F$31,A13)</f>
        <v/>
      </c>
    </row>
    <row r="14">
      <c r="A14" s="4" t="inlineStr">
        <is>
          <t>Approved</t>
        </is>
      </c>
      <c r="B14" s="5">
        <f>COUNTIF(Programs!$F$2:$F$31,A14)</f>
        <v/>
      </c>
    </row>
    <row r="15">
      <c r="A15" s="4" t="inlineStr">
        <is>
          <t>Rejected</t>
        </is>
      </c>
      <c r="B15" s="5">
        <f>COUNTIF(Programs!$F$2:$F$31,A15)</f>
        <v/>
      </c>
    </row>
    <row r="16">
      <c r="A16" s="4" t="inlineStr">
        <is>
          <t>Paused</t>
        </is>
      </c>
      <c r="B16" s="5">
        <f>COUNTIF(Programs!$F$2:$F$31,A16)</f>
        <v/>
      </c>
    </row>
    <row r="17">
      <c r="A17" s="6" t="inlineStr">
        <is>
          <t>Total programs</t>
        </is>
      </c>
      <c r="B17" s="7">
        <f>SUM(B12:B16)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34" customWidth="1" min="4" max="4"/>
    <col width="24" customWidth="1" min="5" max="5"/>
    <col width="13" customWidth="1" min="6" max="6"/>
    <col width="13" customWidth="1" min="7" max="7"/>
    <col width="13" customWidth="1" min="8" max="8"/>
    <col width="22" customWidth="1" min="9" max="9"/>
    <col width="12" customWidth="1" min="10" max="10"/>
    <col width="13" customWidth="1" min="11" max="11"/>
    <col width="30" customWidth="1" min="12" max="12"/>
    <col width="13" customWidth="1" min="13" max="13"/>
    <col width="13" customWidth="1" min="14" max="14"/>
    <col width="58" customWidth="1" min="15" max="15"/>
  </cols>
  <sheetData>
    <row r="1" ht="32" customHeight="1">
      <c r="A1" s="8" t="inlineStr">
        <is>
          <t>Priority</t>
        </is>
      </c>
      <c r="B1" s="8" t="inlineStr">
        <is>
          <t>Program</t>
        </is>
      </c>
      <c r="C1" s="8" t="inlineStr">
        <is>
          <t>How to join</t>
        </is>
      </c>
      <c r="D1" s="8" t="inlineStr">
        <is>
          <t>Sign-up link</t>
        </is>
      </c>
      <c r="E1" s="8" t="inlineStr">
        <is>
          <t>Tile categories</t>
        </is>
      </c>
      <c r="F1" s="8" t="inlineStr">
        <is>
          <t>Status</t>
        </is>
      </c>
      <c r="G1" s="8" t="inlineStr">
        <is>
          <t>Date applied</t>
        </is>
      </c>
      <c r="H1" s="8" t="inlineStr">
        <is>
          <t>Date approved</t>
        </is>
      </c>
      <c r="I1" s="8" t="inlineStr">
        <is>
          <t>Commission (reported)</t>
        </is>
      </c>
      <c r="J1" s="8" t="inlineStr">
        <is>
          <t>Cookie window (days)</t>
        </is>
      </c>
      <c r="K1" s="8" t="inlineStr">
        <is>
          <t>Payout threshold ($)</t>
        </is>
      </c>
      <c r="L1" s="8" t="inlineStr">
        <is>
          <t>Terms URL</t>
        </is>
      </c>
      <c r="M1" s="8" t="inlineStr">
        <is>
          <t>Last link check</t>
        </is>
      </c>
      <c r="N1" s="8" t="inlineStr">
        <is>
          <t>Next link check</t>
        </is>
      </c>
      <c r="O1" s="8" t="inlineStr">
        <is>
          <t>Notes</t>
        </is>
      </c>
    </row>
    <row r="2">
      <c r="A2" s="9" t="n">
        <v>1</v>
      </c>
      <c r="B2" s="9" t="inlineStr">
        <is>
          <t>Awin (network)</t>
        </is>
      </c>
      <c r="C2" s="9" t="inlineStr">
        <is>
          <t>Network</t>
        </is>
      </c>
      <c r="D2" s="9" t="inlineStr">
        <is>
          <t>https://www.awin.com</t>
        </is>
      </c>
      <c r="E2" s="9" t="inlineStr">
        <is>
          <t>Flower, Concentrates, Vapes</t>
        </is>
      </c>
      <c r="F2" s="10" t="inlineStr">
        <is>
          <t>Not applied</t>
        </is>
      </c>
      <c r="G2" s="11" t="n"/>
      <c r="H2" s="11" t="n"/>
      <c r="I2" s="10" t="inlineStr">
        <is>
          <t>Varies by merchant</t>
        </is>
      </c>
      <c r="J2" s="10" t="n"/>
      <c r="K2" s="12" t="n"/>
      <c r="L2" s="9" t="inlineStr">
        <is>
          <t>https://ui.awin.com/merchant-profile-terms/15607/brand</t>
        </is>
      </c>
      <c r="M2" s="11" t="n"/>
      <c r="N2" s="13">
        <f>IF(M2="","",M2+30)</f>
        <v/>
      </c>
      <c r="O2" s="9" t="inlineStr">
        <is>
          <t>Includes Storz &amp; Bickel (reported base rate from 10%, 30-day cookie), Santa Cruz Shredder, Session Goods, EYCE, Smoke Cartel. Each merchant approves you separately and sets its own cannabis rules.</t>
        </is>
      </c>
    </row>
    <row r="3">
      <c r="A3" s="9" t="n">
        <v>2</v>
      </c>
      <c r="B3" s="9" t="inlineStr">
        <is>
          <t>FlexOffers (network)</t>
        </is>
      </c>
      <c r="C3" s="9" t="inlineStr">
        <is>
          <t>Network</t>
        </is>
      </c>
      <c r="D3" s="9" t="inlineStr">
        <is>
          <t>https://www.flexoffers.com</t>
        </is>
      </c>
      <c r="E3" s="9" t="inlineStr">
        <is>
          <t>Flower</t>
        </is>
      </c>
      <c r="F3" s="10" t="inlineStr">
        <is>
          <t>Not applied</t>
        </is>
      </c>
      <c r="G3" s="11" t="n"/>
      <c r="H3" s="11" t="n"/>
      <c r="I3" s="10" t="inlineStr">
        <is>
          <t>Grasscity: 6.4-8% (unverified)</t>
        </is>
      </c>
      <c r="J3" s="10" t="n"/>
      <c r="K3" s="12" t="n"/>
      <c r="L3" s="9" t="inlineStr">
        <is>
          <t>https://www.flexoffers.com/affiliate-programs/grasscity-com-affiliate-program</t>
        </is>
      </c>
      <c r="M3" s="11" t="n"/>
      <c r="N3" s="13">
        <f>IF(M3="","",M3+30)</f>
        <v/>
      </c>
      <c r="O3" s="9" t="inlineStr">
        <is>
          <t>Grasscity cookie reported anywhere from 7 to 30 days; confirm.</t>
        </is>
      </c>
    </row>
    <row r="4">
      <c r="A4" s="9" t="n">
        <v>3</v>
      </c>
      <c r="B4" s="9" t="inlineStr">
        <is>
          <t>Katalys (network)</t>
        </is>
      </c>
      <c r="C4" s="9" t="inlineStr">
        <is>
          <t>Network</t>
        </is>
      </c>
      <c r="D4" s="9" t="inlineStr">
        <is>
          <t>https://katalys.com</t>
        </is>
      </c>
      <c r="E4" s="9" t="inlineStr">
        <is>
          <t>Flower, Concentrates</t>
        </is>
      </c>
      <c r="F4" s="10" t="inlineStr">
        <is>
          <t>Not applied</t>
        </is>
      </c>
      <c r="G4" s="11" t="n"/>
      <c r="H4" s="11" t="n"/>
      <c r="I4" s="10" t="inlineStr">
        <is>
          <t>Headshop.com: 10-16% (unverified)</t>
        </is>
      </c>
      <c r="J4" s="10" t="n"/>
      <c r="K4" s="12" t="n"/>
      <c r="L4" s="9" t="inlineStr">
        <is>
          <t>https://katalys.com/brands/headshop-com-affiliate-program/</t>
        </is>
      </c>
      <c r="M4" s="11" t="n"/>
      <c r="N4" s="13">
        <f>IF(M4="","",M4+30)</f>
        <v/>
      </c>
      <c r="O4" s="9" t="inlineStr">
        <is>
          <t>Headshop.com: grinders, vaporizers, pipes. Two listings disagree on the rate.</t>
        </is>
      </c>
    </row>
    <row r="5">
      <c r="A5" s="9" t="n">
        <v>4</v>
      </c>
      <c r="B5" s="9" t="inlineStr">
        <is>
          <t>Green Goddess Supply</t>
        </is>
      </c>
      <c r="C5" s="9" t="inlineStr">
        <is>
          <t>Direct (ShareASale, now Awin)</t>
        </is>
      </c>
      <c r="D5" s="9" t="inlineStr"/>
      <c r="E5" s="9" t="inlineStr">
        <is>
          <t>Flower, Edibles</t>
        </is>
      </c>
      <c r="F5" s="10" t="inlineStr">
        <is>
          <t>Not applied</t>
        </is>
      </c>
      <c r="G5" s="11" t="n"/>
      <c r="H5" s="11" t="n"/>
      <c r="I5" s="10" t="inlineStr">
        <is>
          <t>About 10% (unverified)</t>
        </is>
      </c>
      <c r="J5" s="10" t="n">
        <v>60</v>
      </c>
      <c r="K5" s="12" t="n"/>
      <c r="L5" s="9" t="inlineStr"/>
      <c r="M5" s="11" t="n"/>
      <c r="N5" s="13">
        <f>IF(M5="","",M5+30)</f>
        <v/>
      </c>
      <c r="O5" s="9" t="inlineStr">
        <is>
          <t>Stash jars and storage.</t>
        </is>
      </c>
    </row>
    <row r="6">
      <c r="A6" s="9" t="n">
        <v>5</v>
      </c>
      <c r="B6" s="9" t="inlineStr">
        <is>
          <t>PAX</t>
        </is>
      </c>
      <c r="C6" s="9" t="inlineStr">
        <is>
          <t>Direct</t>
        </is>
      </c>
      <c r="D6" s="9" t="inlineStr"/>
      <c r="E6" s="9" t="inlineStr">
        <is>
          <t>Vapes</t>
        </is>
      </c>
      <c r="F6" s="10" t="inlineStr">
        <is>
          <t>Not applied</t>
        </is>
      </c>
      <c r="G6" s="11" t="n"/>
      <c r="H6" s="11" t="n"/>
      <c r="I6" s="10" t="inlineStr">
        <is>
          <t>About 25% (unverified)</t>
        </is>
      </c>
      <c r="J6" s="10" t="n"/>
      <c r="K6" s="12" t="n"/>
      <c r="L6" s="9" t="inlineStr"/>
      <c r="M6" s="11" t="n"/>
      <c r="N6" s="13">
        <f>IF(M6="","",M6+30)</f>
        <v/>
      </c>
      <c r="O6" s="9" t="inlineStr">
        <is>
          <t>Vape hardware.</t>
        </is>
      </c>
    </row>
    <row r="7">
      <c r="A7" s="9" t="n">
        <v>5</v>
      </c>
      <c r="B7" s="9" t="inlineStr">
        <is>
          <t>DaVinci Vaporizers</t>
        </is>
      </c>
      <c r="C7" s="9" t="inlineStr">
        <is>
          <t>Direct</t>
        </is>
      </c>
      <c r="D7" s="9" t="inlineStr"/>
      <c r="E7" s="9" t="inlineStr">
        <is>
          <t>Vapes</t>
        </is>
      </c>
      <c r="F7" s="10" t="inlineStr">
        <is>
          <t>Not applied</t>
        </is>
      </c>
      <c r="G7" s="11" t="n"/>
      <c r="H7" s="11" t="n"/>
      <c r="I7" s="10" t="inlineStr">
        <is>
          <t>About 15% (unverified)</t>
        </is>
      </c>
      <c r="J7" s="10" t="n">
        <v>60</v>
      </c>
      <c r="K7" s="12" t="n"/>
      <c r="L7" s="9" t="inlineStr"/>
      <c r="M7" s="11" t="n"/>
      <c r="N7" s="13">
        <f>IF(M7="","",M7+30)</f>
        <v/>
      </c>
      <c r="O7" s="9" t="inlineStr">
        <is>
          <t>Listed in third-party roundups only.</t>
        </is>
      </c>
    </row>
    <row r="8">
      <c r="A8" s="9" t="n">
        <v>5</v>
      </c>
      <c r="B8" s="9" t="inlineStr">
        <is>
          <t>HoneyStick</t>
        </is>
      </c>
      <c r="C8" s="9" t="inlineStr">
        <is>
          <t>Direct</t>
        </is>
      </c>
      <c r="D8" s="9" t="inlineStr"/>
      <c r="E8" s="9" t="inlineStr">
        <is>
          <t>Vapes, Concentrates</t>
        </is>
      </c>
      <c r="F8" s="10" t="inlineStr">
        <is>
          <t>Not applied</t>
        </is>
      </c>
      <c r="G8" s="11" t="n"/>
      <c r="H8" s="11" t="n"/>
      <c r="I8" s="10" t="inlineStr">
        <is>
          <t>15-25% (unverified)</t>
        </is>
      </c>
      <c r="J8" s="10" t="n">
        <v>30</v>
      </c>
      <c r="K8" s="12" t="n"/>
      <c r="L8" s="9" t="inlineStr"/>
      <c r="M8" s="11" t="n"/>
      <c r="N8" s="13">
        <f>IF(M8="","",M8+30)</f>
        <v/>
      </c>
      <c r="O8" s="9" t="inlineStr"/>
    </row>
    <row r="9">
      <c r="A9" s="9" t="n">
        <v>5</v>
      </c>
      <c r="B9" s="9" t="inlineStr">
        <is>
          <t>Airvape</t>
        </is>
      </c>
      <c r="C9" s="9" t="inlineStr">
        <is>
          <t>Direct</t>
        </is>
      </c>
      <c r="D9" s="9" t="inlineStr"/>
      <c r="E9" s="9" t="inlineStr">
        <is>
          <t>Vapes</t>
        </is>
      </c>
      <c r="F9" s="10" t="inlineStr">
        <is>
          <t>Not applied</t>
        </is>
      </c>
      <c r="G9" s="11" t="n"/>
      <c r="H9" s="11" t="n"/>
      <c r="I9" s="10" t="inlineStr">
        <is>
          <t>About 15% (unverified)</t>
        </is>
      </c>
      <c r="J9" s="10" t="n"/>
      <c r="K9" s="12" t="n"/>
      <c r="L9" s="9" t="inlineStr"/>
      <c r="M9" s="11" t="n"/>
      <c r="N9" s="13">
        <f>IF(M9="","",M9+30)</f>
        <v/>
      </c>
      <c r="O9" s="9" t="inlineStr"/>
    </row>
    <row r="10">
      <c r="A10" s="9" t="n">
        <v>6</v>
      </c>
      <c r="B10" s="9" t="inlineStr">
        <is>
          <t>Puffco</t>
        </is>
      </c>
      <c r="C10" s="9" t="inlineStr">
        <is>
          <t>Contact directly</t>
        </is>
      </c>
      <c r="D10" s="9" t="inlineStr"/>
      <c r="E10" s="9" t="inlineStr">
        <is>
          <t>Concentrates</t>
        </is>
      </c>
      <c r="F10" s="10" t="inlineStr">
        <is>
          <t>Not applied</t>
        </is>
      </c>
      <c r="G10" s="11" t="n"/>
      <c r="H10" s="11" t="n"/>
      <c r="I10" s="10" t="inlineStr">
        <is>
          <t>Unknown</t>
        </is>
      </c>
      <c r="J10" s="10" t="n"/>
      <c r="K10" s="12" t="n"/>
      <c r="L10" s="9" t="inlineStr"/>
      <c r="M10" s="11" t="n"/>
      <c r="N10" s="13">
        <f>IF(M10="","",M10+30)</f>
        <v/>
      </c>
      <c r="O10" s="9" t="inlineStr">
        <is>
          <t>No affiliate information found. Ask them whether a program exists.</t>
        </is>
      </c>
    </row>
    <row r="11">
      <c r="A11" s="9" t="n">
        <v>6</v>
      </c>
      <c r="B11" s="9" t="inlineStr">
        <is>
          <t>DankStop</t>
        </is>
      </c>
      <c r="C11" s="9" t="inlineStr">
        <is>
          <t>Contact directly</t>
        </is>
      </c>
      <c r="D11" s="9" t="inlineStr"/>
      <c r="E11" s="9" t="inlineStr">
        <is>
          <t>Concentrates</t>
        </is>
      </c>
      <c r="F11" s="10" t="inlineStr">
        <is>
          <t>Not applied</t>
        </is>
      </c>
      <c r="G11" s="11" t="n"/>
      <c r="H11" s="11" t="n"/>
      <c r="I11" s="10" t="inlineStr">
        <is>
          <t>Unknown</t>
        </is>
      </c>
      <c r="J11" s="10" t="n"/>
      <c r="K11" s="12" t="n"/>
      <c r="L11" s="9" t="inlineStr"/>
      <c r="M11" s="11" t="n"/>
      <c r="N11" s="13">
        <f>IF(M11="","",M11+30)</f>
        <v/>
      </c>
      <c r="O11" s="9" t="inlineStr">
        <is>
          <t>Used in the mockup only; not researched.</t>
        </is>
      </c>
    </row>
  </sheetData>
  <conditionalFormatting sqref="F2:F31">
    <cfRule type="cellIs" priority="1" operator="equal" dxfId="0">
      <formula>"Approved"</formula>
    </cfRule>
    <cfRule type="cellIs" priority="2" operator="equal" dxfId="1">
      <formula>"Applied"</formula>
    </cfRule>
    <cfRule type="cellIs" priority="3" operator="equal" dxfId="2">
      <formula>"Rejected"</formula>
    </cfRule>
  </conditionalFormatting>
  <dataValidations count="1">
    <dataValidation sqref="F2:F31" showDropDown="0" showInputMessage="0" showErrorMessage="0" allowBlank="0" type="list">
      <formula1>"Not applied,Applied,Approved,Rejected,Paused"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2026-10-24T14:24:34Z</dcterms:created>
  <dcterms:modified xsi:type="dcterms:W3CDTF">2026-10-24T14:24:34Z</dcterms:modified>
</cp:coreProperties>
</file>